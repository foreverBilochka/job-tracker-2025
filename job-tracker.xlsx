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6B7280"/>
      <sz val="9"/>
    </font>
    <font>
      <name val="Arial"/>
      <color rgb="001D2029"/>
      <sz val="9"/>
    </font>
    <font>
      <name val="Arial"/>
      <color rgb="004F46E5"/>
      <sz val="9"/>
      <u val="single"/>
    </font>
    <font>
      <name val="Arial"/>
      <b val="1"/>
      <color rgb="00059669"/>
      <sz val="10"/>
    </font>
    <font>
      <name val="Arial"/>
      <color rgb="009CA3AF"/>
      <sz val="9"/>
    </font>
    <font>
      <name val="Arial"/>
      <b val="1"/>
      <color rgb="00065F46"/>
      <sz val="9"/>
    </font>
    <font>
      <name val="Arial"/>
      <b val="1"/>
      <color rgb="001E40AF"/>
      <sz val="9"/>
    </font>
    <font>
      <name val="Arial"/>
      <b val="1"/>
      <color rgb="00991B1B"/>
      <sz val="9"/>
    </font>
    <font>
      <name val="Arial"/>
      <b val="1"/>
      <color rgb="00FFFFFF"/>
      <sz val="14"/>
    </font>
    <font>
      <name val="Arial"/>
      <b val="1"/>
      <color rgb="001D2029"/>
      <sz val="10"/>
    </font>
    <font>
      <name val="Arial"/>
      <b val="1"/>
      <color rgb="001D2029"/>
      <sz val="13"/>
    </font>
    <font>
      <name val="Arial"/>
      <b val="1"/>
      <color rgb="00065F46"/>
      <sz val="10"/>
    </font>
    <font>
      <name val="Arial"/>
      <b val="1"/>
      <color rgb="00065F46"/>
      <sz val="13"/>
    </font>
    <font>
      <name val="Arial"/>
      <b val="1"/>
      <color rgb="001E40AF"/>
      <sz val="10"/>
    </font>
    <font>
      <name val="Arial"/>
      <b val="1"/>
      <color rgb="001E40AF"/>
      <sz val="13"/>
    </font>
    <font>
      <name val="Arial"/>
      <b val="1"/>
      <color rgb="00991B1B"/>
      <sz val="10"/>
    </font>
    <font>
      <name val="Arial"/>
      <b val="1"/>
      <color rgb="00991B1B"/>
      <sz val="13"/>
    </font>
    <font>
      <name val="Arial"/>
      <b val="1"/>
      <color rgb="00166534"/>
      <sz val="10"/>
    </font>
    <font>
      <name val="Arial"/>
      <b val="1"/>
      <color rgb="00166534"/>
      <sz val="13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D2029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bottom style="medium">
        <color rgb="004F46E5"/>
      </bottom>
    </border>
    <border>
      <bottom style="thin">
        <color rgb="00E5E7E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11" fillId="4" borderId="2" applyAlignment="1" pivotButton="0" quotePrefix="0" xfId="0">
      <alignment vertical="center" indent="2"/>
    </xf>
    <xf numFmtId="0" fontId="12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vertical="center" indent="2"/>
    </xf>
    <xf numFmtId="0" fontId="14" fillId="5" borderId="2" applyAlignment="1" pivotButton="0" quotePrefix="0" xfId="0">
      <alignment horizontal="center" vertical="center"/>
    </xf>
    <xf numFmtId="0" fontId="15" fillId="7" borderId="2" applyAlignment="1" pivotButton="0" quotePrefix="0" xfId="0">
      <alignment vertical="center" indent="2"/>
    </xf>
    <xf numFmtId="0" fontId="16" fillId="7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indent="2"/>
    </xf>
    <xf numFmtId="0" fontId="18" fillId="8" borderId="2" applyAlignment="1" pivotButton="0" quotePrefix="0" xfId="0">
      <alignment horizontal="center" vertical="center"/>
    </xf>
    <xf numFmtId="0" fontId="19" fillId="9" borderId="2" applyAlignment="1" pivotButton="0" quotePrefix="0" xfId="0">
      <alignment vertical="center" indent="2"/>
    </xf>
    <xf numFmtId="0" fontId="20" fillId="9" borderId="2" applyAlignment="1" pivotButton="0" quotePrefix="0" xfId="0">
      <alignment horizontal="center" vertical="center"/>
    </xf>
    <xf numFmtId="9" fontId="1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4" customWidth="1" min="4" max="4"/>
    <col width="40" customWidth="1" min="5" max="5"/>
    <col width="14" customWidth="1" min="6" max="6"/>
    <col width="8" customWidth="1" min="7" max="7"/>
    <col width="13" customWidth="1" min="8" max="8"/>
    <col width="10" customWidth="1" min="9" max="9"/>
    <col width="16" customWidth="1" min="10" max="10"/>
    <col width="30" customWidth="1" min="11" max="11"/>
    <col width="20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8" customHeight="1">
      <c r="A2" s="2" t="inlineStr">
        <is>
          <t>#</t>
        </is>
      </c>
      <c r="B2" s="2" t="inlineStr">
        <is>
          <t>Company</t>
        </is>
      </c>
      <c r="C2" s="2" t="inlineStr">
        <is>
          <t>Vacancy</t>
        </is>
      </c>
      <c r="D2" s="2" t="inlineStr">
        <is>
          <t>Vacancy Link</t>
        </is>
      </c>
      <c r="E2" s="2" t="inlineStr">
        <is>
          <t>Key Skills</t>
        </is>
      </c>
      <c r="F2" s="2" t="inlineStr">
        <is>
          <t>Date Sent</t>
        </is>
      </c>
      <c r="G2" s="2" t="inlineStr">
        <is>
          <t>CV</t>
        </is>
      </c>
      <c r="H2" s="2" t="inlineStr">
        <is>
          <t>Cover Letter</t>
        </is>
      </c>
      <c r="I2" s="2" t="inlineStr">
        <is>
          <t>Details</t>
        </is>
      </c>
      <c r="J2" s="2" t="inlineStr">
        <is>
          <t>Interview Day</t>
        </is>
      </c>
      <c r="K2" s="2" t="inlineStr">
        <is>
          <t>My Comment</t>
        </is>
      </c>
      <c r="L2" s="2" t="inlineStr">
        <is>
          <t>Feedback / Status</t>
        </is>
      </c>
    </row>
    <row r="3" ht="36" customHeight="1">
      <c r="A3" s="3" t="n">
        <v>1</v>
      </c>
      <c r="B3" s="4" t="inlineStr">
        <is>
          <t>Boosters</t>
        </is>
      </c>
      <c r="C3" s="4" t="inlineStr">
        <is>
          <t>Senior Product Designer</t>
        </is>
      </c>
      <c r="D3" s="5" t="inlineStr">
        <is>
          <t>https://jobs.dou.ua</t>
        </is>
      </c>
      <c r="E3" s="4" t="inlineStr">
        <is>
          <t>інтерв'ю, опитування, юзабіліті-тестування</t>
        </is>
      </c>
      <c r="F3" s="4" t="inlineStr">
        <is>
          <t>12.05.2025</t>
        </is>
      </c>
      <c r="G3" s="6" t="inlineStr">
        <is>
          <t>✓</t>
        </is>
      </c>
      <c r="H3" s="6" t="inlineStr">
        <is>
          <t>✓</t>
        </is>
      </c>
      <c r="I3" s="7" t="inlineStr">
        <is>
          <t>—</t>
        </is>
      </c>
      <c r="J3" s="4" t="inlineStr"/>
      <c r="K3" s="4" t="inlineStr"/>
      <c r="L3" s="8" t="inlineStr">
        <is>
          <t>Applied</t>
        </is>
      </c>
    </row>
    <row r="4" ht="36" customHeight="1">
      <c r="A4" s="9" t="n">
        <v>2</v>
      </c>
      <c r="B4" s="10" t="inlineStr">
        <is>
          <t>Grammarly</t>
        </is>
      </c>
      <c r="C4" s="10" t="inlineStr">
        <is>
          <t>Lead Product Designer</t>
        </is>
      </c>
      <c r="D4" s="11" t="inlineStr">
        <is>
          <t>https://grammarly.com/jobs</t>
        </is>
      </c>
      <c r="E4" s="10" t="inlineStr">
        <is>
          <t>design systems, cross-platform, Figma, user research</t>
        </is>
      </c>
      <c r="F4" s="10" t="inlineStr">
        <is>
          <t>15.05.2025</t>
        </is>
      </c>
      <c r="G4" s="12" t="inlineStr">
        <is>
          <t>✓</t>
        </is>
      </c>
      <c r="H4" s="12" t="inlineStr">
        <is>
          <t>✓</t>
        </is>
      </c>
      <c r="I4" s="13" t="inlineStr">
        <is>
          <t>—</t>
        </is>
      </c>
      <c r="J4" s="10" t="inlineStr"/>
      <c r="K4" s="10" t="inlineStr">
        <is>
          <t>Strong culture fit</t>
        </is>
      </c>
      <c r="L4" s="8" t="inlineStr">
        <is>
          <t>Applied</t>
        </is>
      </c>
    </row>
    <row r="5" ht="36" customHeight="1">
      <c r="A5" s="3" t="n">
        <v>3</v>
      </c>
      <c r="B5" s="4" t="inlineStr">
        <is>
          <t>Headspace</t>
        </is>
      </c>
      <c r="C5" s="4" t="inlineStr">
        <is>
          <t>Senior UX Designer</t>
        </is>
      </c>
      <c r="D5" s="5" t="inlineStr">
        <is>
          <t>https://headspace.com/careers</t>
        </is>
      </c>
      <c r="E5" s="4" t="inlineStr">
        <is>
          <t>mobile, wellness, prototyping, usability testing</t>
        </is>
      </c>
      <c r="F5" s="4" t="inlineStr">
        <is>
          <t>16.05.2025</t>
        </is>
      </c>
      <c r="G5" s="6" t="inlineStr">
        <is>
          <t>✓</t>
        </is>
      </c>
      <c r="H5" s="7" t="inlineStr">
        <is>
          <t>—</t>
        </is>
      </c>
      <c r="I5" s="7" t="inlineStr">
        <is>
          <t>—</t>
        </is>
      </c>
      <c r="J5" s="4" t="inlineStr"/>
      <c r="K5" s="4" t="inlineStr">
        <is>
          <t>No cover needed</t>
        </is>
      </c>
      <c r="L5" s="8" t="inlineStr">
        <is>
          <t>Applied</t>
        </is>
      </c>
    </row>
    <row r="6" ht="36" customHeight="1">
      <c r="A6" s="9" t="n">
        <v>4</v>
      </c>
      <c r="B6" s="10" t="inlineStr">
        <is>
          <t>Notion</t>
        </is>
      </c>
      <c r="C6" s="10" t="inlineStr">
        <is>
          <t>Product Designer</t>
        </is>
      </c>
      <c r="D6" s="11" t="inlineStr">
        <is>
          <t>https://notion.so/jobs</t>
        </is>
      </c>
      <c r="E6" s="10" t="inlineStr">
        <is>
          <t>design systems, collaboration, Figma, React basics</t>
        </is>
      </c>
      <c r="F6" s="10" t="inlineStr">
        <is>
          <t>18.05.2025</t>
        </is>
      </c>
      <c r="G6" s="12" t="inlineStr">
        <is>
          <t>✓</t>
        </is>
      </c>
      <c r="H6" s="12" t="inlineStr">
        <is>
          <t>✓</t>
        </is>
      </c>
      <c r="I6" s="12" t="inlineStr">
        <is>
          <t>✓</t>
        </is>
      </c>
      <c r="J6" s="10" t="inlineStr"/>
      <c r="K6" s="10" t="inlineStr">
        <is>
          <t>Portfolio reviewed</t>
        </is>
      </c>
      <c r="L6" s="14" t="inlineStr">
        <is>
          <t>Interview</t>
        </is>
      </c>
    </row>
    <row r="7" ht="36" customHeight="1">
      <c r="A7" s="3" t="n">
        <v>5</v>
      </c>
      <c r="B7" s="4" t="inlineStr">
        <is>
          <t>Calm</t>
        </is>
      </c>
      <c r="C7" s="4" t="inlineStr">
        <is>
          <t>Senior Product Designer</t>
        </is>
      </c>
      <c r="D7" s="5" t="inlineStr">
        <is>
          <t>https://calm.com/jobs</t>
        </is>
      </c>
      <c r="E7" s="4" t="inlineStr">
        <is>
          <t>mobile UX, animation, onboarding flows, A/B testing</t>
        </is>
      </c>
      <c r="F7" s="4" t="inlineStr">
        <is>
          <t>20.05.2025</t>
        </is>
      </c>
      <c r="G7" s="6" t="inlineStr">
        <is>
          <t>✓</t>
        </is>
      </c>
      <c r="H7" s="6" t="inlineStr">
        <is>
          <t>✓</t>
        </is>
      </c>
      <c r="I7" s="7" t="inlineStr">
        <is>
          <t>—</t>
        </is>
      </c>
      <c r="J7" s="4" t="inlineStr"/>
      <c r="K7" s="4" t="inlineStr"/>
      <c r="L7" s="8" t="inlineStr">
        <is>
          <t>Applied</t>
        </is>
      </c>
    </row>
    <row r="8" ht="36" customHeight="1">
      <c r="A8" s="9" t="n">
        <v>6</v>
      </c>
      <c r="B8" s="10" t="inlineStr">
        <is>
          <t>Linear</t>
        </is>
      </c>
      <c r="C8" s="10" t="inlineStr">
        <is>
          <t>Product Designer</t>
        </is>
      </c>
      <c r="D8" s="11" t="inlineStr">
        <is>
          <t>https://linear.app/jobs</t>
        </is>
      </c>
      <c r="E8" s="10" t="inlineStr">
        <is>
          <t>B2B SaaS, design systems, developer tools, interaction</t>
        </is>
      </c>
      <c r="F8" s="10" t="inlineStr">
        <is>
          <t>21.05.2025</t>
        </is>
      </c>
      <c r="G8" s="12" t="inlineStr">
        <is>
          <t>✓</t>
        </is>
      </c>
      <c r="H8" s="13" t="inlineStr">
        <is>
          <t>—</t>
        </is>
      </c>
      <c r="I8" s="13" t="inlineStr">
        <is>
          <t>—</t>
        </is>
      </c>
      <c r="J8" s="10" t="inlineStr"/>
      <c r="K8" s="10" t="inlineStr">
        <is>
          <t>Impressive team</t>
        </is>
      </c>
      <c r="L8" s="15" t="inlineStr">
        <is>
          <t>Rejected</t>
        </is>
      </c>
    </row>
    <row r="9" ht="36" customHeight="1">
      <c r="A9" s="3" t="n">
        <v>7</v>
      </c>
      <c r="B9" s="4" t="inlineStr">
        <is>
          <t>Figma</t>
        </is>
      </c>
      <c r="C9" s="4" t="inlineStr">
        <is>
          <t>Senior Product Designer</t>
        </is>
      </c>
      <c r="D9" s="5" t="inlineStr">
        <is>
          <t>https://figma.com/jobs</t>
        </is>
      </c>
      <c r="E9" s="4" t="inlineStr">
        <is>
          <t>design tools, prototyping, plugin ecosystem, research</t>
        </is>
      </c>
      <c r="F9" s="4" t="inlineStr">
        <is>
          <t>22.05.2025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4" t="inlineStr">
        <is>
          <t>28.05.2025</t>
        </is>
      </c>
      <c r="K9" s="4" t="inlineStr">
        <is>
          <t>First round done</t>
        </is>
      </c>
      <c r="L9" s="14" t="inlineStr">
        <is>
          <t>Interview</t>
        </is>
      </c>
    </row>
    <row r="10" ht="36" customHeight="1">
      <c r="A10" s="9" t="n">
        <v>8</v>
      </c>
      <c r="B10" s="10" t="inlineStr">
        <is>
          <t>Miro</t>
        </is>
      </c>
      <c r="C10" s="10" t="inlineStr">
        <is>
          <t>Lead UX Designer</t>
        </is>
      </c>
      <c r="D10" s="11" t="inlineStr">
        <is>
          <t>https://miro.com/jobs</t>
        </is>
      </c>
      <c r="E10" s="10" t="inlineStr">
        <is>
          <t>collaboration, whiteboard UX, enterprise, Figma</t>
        </is>
      </c>
      <c r="F10" s="10" t="inlineStr">
        <is>
          <t>23.05.2025</t>
        </is>
      </c>
      <c r="G10" s="12" t="inlineStr">
        <is>
          <t>✓</t>
        </is>
      </c>
      <c r="H10" s="12" t="inlineStr">
        <is>
          <t>✓</t>
        </is>
      </c>
      <c r="I10" s="13" t="inlineStr">
        <is>
          <t>—</t>
        </is>
      </c>
      <c r="J10" s="10" t="inlineStr"/>
      <c r="K10" s="10" t="inlineStr"/>
      <c r="L10" s="8" t="inlineStr">
        <is>
          <t>Applied</t>
        </is>
      </c>
    </row>
    <row r="11" ht="36" customHeight="1">
      <c r="A11" s="3" t="n">
        <v>9</v>
      </c>
      <c r="B11" s="4" t="inlineStr">
        <is>
          <t>Spotify</t>
        </is>
      </c>
      <c r="C11" s="4" t="inlineStr">
        <is>
          <t>Product Designer</t>
        </is>
      </c>
      <c r="D11" s="5" t="inlineStr">
        <is>
          <t>https://spotifyjobs.com</t>
        </is>
      </c>
      <c r="E11" s="4" t="inlineStr">
        <is>
          <t>audio UX, personalization, data-driven design, mobile</t>
        </is>
      </c>
      <c r="F11" s="4" t="inlineStr">
        <is>
          <t>24.05.2025</t>
        </is>
      </c>
      <c r="G11" s="6" t="inlineStr">
        <is>
          <t>✓</t>
        </is>
      </c>
      <c r="H11" s="7" t="inlineStr">
        <is>
          <t>—</t>
        </is>
      </c>
      <c r="I11" s="7" t="inlineStr">
        <is>
          <t>—</t>
        </is>
      </c>
      <c r="J11" s="4" t="inlineStr"/>
      <c r="K11" s="4" t="inlineStr">
        <is>
          <t>Dream company</t>
        </is>
      </c>
      <c r="L11" s="8" t="inlineStr">
        <is>
          <t>Applied</t>
        </is>
      </c>
    </row>
    <row r="12" ht="36" customHeight="1">
      <c r="A12" s="9" t="n">
        <v>10</v>
      </c>
      <c r="B12" s="10" t="inlineStr">
        <is>
          <t>Stripe</t>
        </is>
      </c>
      <c r="C12" s="10" t="inlineStr">
        <is>
          <t>Senior Product Designer</t>
        </is>
      </c>
      <c r="D12" s="11" t="inlineStr">
        <is>
          <t>https://stripe.com/jobs</t>
        </is>
      </c>
      <c r="E12" s="10" t="inlineStr">
        <is>
          <t>fintech, developer UX, complex forms, design systems</t>
        </is>
      </c>
      <c r="F12" s="10" t="inlineStr">
        <is>
          <t>25.05.2025</t>
        </is>
      </c>
      <c r="G12" s="12" t="inlineStr">
        <is>
          <t>✓</t>
        </is>
      </c>
      <c r="H12" s="12" t="inlineStr">
        <is>
          <t>✓</t>
        </is>
      </c>
      <c r="I12" s="12" t="inlineStr">
        <is>
          <t>✓</t>
        </is>
      </c>
      <c r="J12" s="10" t="inlineStr"/>
      <c r="K12" s="10" t="inlineStr"/>
      <c r="L12" s="8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8" customHeight="1">
      <c r="A1" s="1" t="n"/>
      <c r="B1" s="1" t="n"/>
    </row>
    <row r="2" ht="44" customHeight="1">
      <c r="A2" s="16" t="inlineStr">
        <is>
          <t>Job Search Summary</t>
        </is>
      </c>
      <c r="B2" s="17" t="n"/>
    </row>
    <row r="4" ht="36" customHeight="1">
      <c r="A4" s="18" t="inlineStr">
        <is>
          <t>Total Applications</t>
        </is>
      </c>
      <c r="B4" s="19">
        <f>COUNTA('Job Applications'!A3:A102)</f>
        <v/>
      </c>
    </row>
    <row r="5" ht="36" customHeight="1">
      <c r="A5" s="20" t="inlineStr">
        <is>
          <t>Applied (pending)</t>
        </is>
      </c>
      <c r="B5" s="21">
        <f>COUNTIF('Job Applications'!L3:L102,"Applied")</f>
        <v/>
      </c>
    </row>
    <row r="6" ht="36" customHeight="1">
      <c r="A6" s="22" t="inlineStr">
        <is>
          <t>In Interview</t>
        </is>
      </c>
      <c r="B6" s="23">
        <f>COUNTIF('Job Applications'!L3:L102,"Interview")</f>
        <v/>
      </c>
    </row>
    <row r="7" ht="36" customHeight="1">
      <c r="A7" s="24" t="inlineStr">
        <is>
          <t>Rejected</t>
        </is>
      </c>
      <c r="B7" s="25">
        <f>COUNTIF('Job Applications'!L3:L102,"Rejected")</f>
        <v/>
      </c>
    </row>
    <row r="8" ht="36" customHeight="1">
      <c r="A8" s="26" t="inlineStr">
        <is>
          <t>Offers Received</t>
        </is>
      </c>
      <c r="B8" s="27">
        <f>COUNTIF('Job Applications'!L3:L102,"Offer")</f>
        <v/>
      </c>
    </row>
    <row r="9" ht="36" customHeight="1">
      <c r="A9" s="18" t="inlineStr">
        <is>
          <t>Interview Rate</t>
        </is>
      </c>
      <c r="B9" s="28">
        <f>IFERROR(COUNTIF('Job Applications'!L3:L102,"Interview")/COUNTA('Job Applications'!A3:A102),0)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2026-05-28T14:25:48Z</dcterms:created>
  <dcterms:modified xsi:type="dcterms:W3CDTF">2026-05-28T14:25:48Z</dcterms:modified>
</cp:coreProperties>
</file>